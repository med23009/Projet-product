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2-23/Notes IRT S3/"/>
    </mc:Choice>
  </mc:AlternateContent>
  <xr:revisionPtr revIDLastSave="0" documentId="13_ncr:1_{3B580E0A-3015-104E-9399-EA5878F1DECB}" xr6:coauthVersionLast="47" xr6:coauthVersionMax="47" xr10:uidLastSave="{00000000-0000-0000-0000-000000000000}"/>
  <bookViews>
    <workbookView xWindow="340" yWindow="460" windowWidth="28100" windowHeight="16760" activeTab="1" xr2:uid="{2E7D8236-72C6-A149-880E-E66C48070941}"/>
  </bookViews>
  <sheets>
    <sheet name="Feuil1" sheetId="2" r:id="rId1"/>
    <sheet name="Détail" sheetId="1" r:id="rId2"/>
  </sheets>
  <definedNames>
    <definedName name="_xlnm._FilterDatabase" localSheetId="1" hidden="1">Détail!$A$1:$A$14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2" i="1"/>
  <c r="H2" i="1" s="1"/>
</calcChain>
</file>

<file path=xl/sharedStrings.xml><?xml version="1.0" encoding="utf-8"?>
<sst xmlns="http://schemas.openxmlformats.org/spreadsheetml/2006/main" count="35" uniqueCount="34">
  <si>
    <t>Matricule</t>
  </si>
  <si>
    <t>Moyenne</t>
  </si>
  <si>
    <t>Hamoud</t>
  </si>
  <si>
    <t>ELY TELMOUDY</t>
  </si>
  <si>
    <t>Tah</t>
  </si>
  <si>
    <t>DIDI</t>
  </si>
  <si>
    <t>Mohamed El Moktar</t>
  </si>
  <si>
    <t>MAMOUNE</t>
  </si>
  <si>
    <t>Ahmed</t>
  </si>
  <si>
    <t>AHMED</t>
  </si>
  <si>
    <t>Mohamed</t>
  </si>
  <si>
    <t>SIDI BRAHIM</t>
  </si>
  <si>
    <t>El Meky</t>
  </si>
  <si>
    <t>EL VILALY</t>
  </si>
  <si>
    <t>Abdallahi Salem</t>
  </si>
  <si>
    <t>M'HAIMID</t>
  </si>
  <si>
    <t>Mohamed El Boukhari</t>
  </si>
  <si>
    <t>AHMEDOU</t>
  </si>
  <si>
    <t>Abdel Aziz</t>
  </si>
  <si>
    <t>JIDDOU OULD MAOULOUD</t>
  </si>
  <si>
    <t>Ahmed Mewloud</t>
  </si>
  <si>
    <t>MBARECK</t>
  </si>
  <si>
    <t>Dah</t>
  </si>
  <si>
    <t>MOULAYE BRAHIM</t>
  </si>
  <si>
    <t>Naha</t>
  </si>
  <si>
    <t>SIDIYA</t>
  </si>
  <si>
    <t>Zeinebou</t>
  </si>
  <si>
    <t>SALECK</t>
  </si>
  <si>
    <t>CP1</t>
  </si>
  <si>
    <t>CP2</t>
  </si>
  <si>
    <t>CP</t>
  </si>
  <si>
    <t>CC</t>
  </si>
  <si>
    <t>Connaissance</t>
  </si>
  <si>
    <t>Compétences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</si>
</sst>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 Light"/>
      <family val="2"/>
      <scheme val="major"/>
    </font>
    <font>
      <sz val="12"/>
      <color rgb="FFFF0000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9ADD-2E3D-9943-9C22-2187ED58E44F}">
  <dimension ref="A1:C14"/>
  <sheetViews>
    <sheetView workbookViewId="0">
      <selection activeCell="B25" sqref="B25"/>
    </sheetView>
  </sheetViews>
  <sheetFormatPr baseColWidth="10" defaultRowHeight="16" x14ac:dyDescent="0.2"/>
  <sheetData>
    <row r="1" spans="1:3" x14ac:dyDescent="0.2">
      <c r="A1" s="7" t="s">
        <v>0</v>
      </c>
      <c r="B1" t="s">
        <v>32</v>
      </c>
      <c r="C1" t="s">
        <v>33</v>
      </c>
    </row>
    <row r="2" spans="1:3" x14ac:dyDescent="0.2">
      <c r="A2" s="8">
        <v>21005</v>
      </c>
      <c r="B2" s="4">
        <v>9.75</v>
      </c>
      <c r="C2">
        <v>11.05</v>
      </c>
    </row>
    <row r="3" spans="1:3" x14ac:dyDescent="0.2">
      <c r="A3" s="8">
        <v>21006</v>
      </c>
      <c r="B3" s="4">
        <v>10</v>
      </c>
      <c r="C3">
        <v>11.1</v>
      </c>
    </row>
    <row r="4" spans="1:3" x14ac:dyDescent="0.2">
      <c r="A4" s="8">
        <v>21021</v>
      </c>
      <c r="B4" s="4">
        <v>10.5</v>
      </c>
      <c r="C4">
        <v>15.3</v>
      </c>
    </row>
    <row r="5" spans="1:3" x14ac:dyDescent="0.2">
      <c r="A5" s="8">
        <v>21025</v>
      </c>
      <c r="B5" s="4">
        <v>11.25</v>
      </c>
      <c r="C5">
        <v>12.5</v>
      </c>
    </row>
    <row r="6" spans="1:3" x14ac:dyDescent="0.2">
      <c r="A6" s="8">
        <v>21028</v>
      </c>
      <c r="B6" s="4">
        <v>8.5</v>
      </c>
      <c r="C6">
        <v>13.55</v>
      </c>
    </row>
    <row r="7" spans="1:3" x14ac:dyDescent="0.2">
      <c r="A7" s="8">
        <v>21030</v>
      </c>
      <c r="B7" s="4">
        <v>10.5</v>
      </c>
      <c r="C7">
        <v>14.074999999999999</v>
      </c>
    </row>
    <row r="8" spans="1:3" x14ac:dyDescent="0.2">
      <c r="A8" s="8">
        <v>21034</v>
      </c>
      <c r="B8" s="4">
        <v>10.5</v>
      </c>
      <c r="C8">
        <v>13.5</v>
      </c>
    </row>
    <row r="9" spans="1:3" x14ac:dyDescent="0.2">
      <c r="A9" s="8">
        <v>21054</v>
      </c>
      <c r="B9" s="4">
        <v>8.75</v>
      </c>
      <c r="C9">
        <v>12</v>
      </c>
    </row>
    <row r="10" spans="1:3" x14ac:dyDescent="0.2">
      <c r="A10" s="8">
        <v>21085</v>
      </c>
      <c r="B10" s="4">
        <v>9.5</v>
      </c>
      <c r="C10">
        <v>15.5</v>
      </c>
    </row>
    <row r="11" spans="1:3" x14ac:dyDescent="0.2">
      <c r="A11" s="8">
        <v>21114</v>
      </c>
      <c r="B11" s="4">
        <v>10.75</v>
      </c>
      <c r="C11">
        <v>11.2</v>
      </c>
    </row>
    <row r="12" spans="1:3" x14ac:dyDescent="0.2">
      <c r="A12" s="8">
        <v>21180</v>
      </c>
      <c r="B12" s="4">
        <v>10.5</v>
      </c>
      <c r="C12">
        <v>10.7</v>
      </c>
    </row>
    <row r="13" spans="1:3" x14ac:dyDescent="0.2">
      <c r="A13" s="8">
        <v>21196</v>
      </c>
      <c r="B13" s="4">
        <v>11.5</v>
      </c>
      <c r="C13">
        <v>12.6</v>
      </c>
    </row>
    <row r="14" spans="1:3" x14ac:dyDescent="0.2">
      <c r="A14" s="8">
        <v>21199</v>
      </c>
      <c r="B14" s="4">
        <v>11.75</v>
      </c>
      <c r="C14">
        <v>12.7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11D0E-DF1B-3240-9BB9-4572FEBE0868}">
  <dimension ref="A1:J14"/>
  <sheetViews>
    <sheetView tabSelected="1" zoomScale="121" zoomScaleNormal="121" workbookViewId="0">
      <selection activeCell="F10" sqref="F10"/>
    </sheetView>
  </sheetViews>
  <sheetFormatPr baseColWidth="10" defaultRowHeight="16" x14ac:dyDescent="0.2"/>
  <cols>
    <col min="1" max="1" width="9" bestFit="1" customWidth="1"/>
  </cols>
  <sheetData>
    <row r="1" spans="1:10" x14ac:dyDescent="0.2">
      <c r="A1" s="2" t="s">
        <v>0</v>
      </c>
      <c r="D1" s="6" t="s">
        <v>31</v>
      </c>
      <c r="E1" t="s">
        <v>28</v>
      </c>
      <c r="F1" t="s">
        <v>29</v>
      </c>
      <c r="G1" s="6" t="s">
        <v>30</v>
      </c>
      <c r="H1" t="s">
        <v>1</v>
      </c>
    </row>
    <row r="2" spans="1:10" x14ac:dyDescent="0.2">
      <c r="A2" s="3">
        <v>21005</v>
      </c>
      <c r="B2" s="4" t="s">
        <v>2</v>
      </c>
      <c r="C2" s="4" t="s">
        <v>3</v>
      </c>
      <c r="D2" s="4">
        <v>9.75</v>
      </c>
      <c r="E2" s="4">
        <v>9.6</v>
      </c>
      <c r="F2" s="3">
        <v>12.5</v>
      </c>
      <c r="G2" s="8">
        <f>AVERAGE(E2:F2)</f>
        <v>11.05</v>
      </c>
      <c r="H2" s="8">
        <f>D2*0.6+G2*0.4</f>
        <v>10.27</v>
      </c>
      <c r="J2" s="3"/>
    </row>
    <row r="3" spans="1:10" x14ac:dyDescent="0.2">
      <c r="A3" s="3">
        <v>21006</v>
      </c>
      <c r="B3" s="4" t="s">
        <v>4</v>
      </c>
      <c r="C3" s="4" t="s">
        <v>5</v>
      </c>
      <c r="D3" s="4">
        <v>10</v>
      </c>
      <c r="E3" s="4">
        <v>10.199999999999999</v>
      </c>
      <c r="F3" s="3">
        <v>12</v>
      </c>
      <c r="G3" s="8">
        <f t="shared" ref="G3:G14" si="0">AVERAGE(E3:F3)</f>
        <v>11.1</v>
      </c>
      <c r="H3" s="8">
        <f t="shared" ref="H3:H14" si="1">D3*0.6+G3*0.4</f>
        <v>10.440000000000001</v>
      </c>
      <c r="J3" s="3"/>
    </row>
    <row r="4" spans="1:10" x14ac:dyDescent="0.2">
      <c r="A4" s="3">
        <v>21021</v>
      </c>
      <c r="B4" s="4" t="s">
        <v>6</v>
      </c>
      <c r="C4" s="4" t="s">
        <v>7</v>
      </c>
      <c r="D4" s="4">
        <v>10.5</v>
      </c>
      <c r="E4" s="4">
        <v>14.6</v>
      </c>
      <c r="F4" s="2">
        <v>16</v>
      </c>
      <c r="G4" s="8">
        <f t="shared" si="0"/>
        <v>15.3</v>
      </c>
      <c r="H4" s="8">
        <f t="shared" si="1"/>
        <v>12.420000000000002</v>
      </c>
      <c r="J4" s="3"/>
    </row>
    <row r="5" spans="1:10" x14ac:dyDescent="0.2">
      <c r="A5" s="3">
        <v>21025</v>
      </c>
      <c r="B5" s="4" t="s">
        <v>8</v>
      </c>
      <c r="C5" s="4" t="s">
        <v>9</v>
      </c>
      <c r="D5" s="4">
        <v>11.25</v>
      </c>
      <c r="E5" s="4">
        <v>9</v>
      </c>
      <c r="F5" s="2">
        <v>16</v>
      </c>
      <c r="G5" s="8">
        <f t="shared" si="0"/>
        <v>12.5</v>
      </c>
      <c r="H5" s="8">
        <f t="shared" si="1"/>
        <v>11.75</v>
      </c>
      <c r="J5" s="3"/>
    </row>
    <row r="6" spans="1:10" x14ac:dyDescent="0.2">
      <c r="A6" s="3">
        <v>21028</v>
      </c>
      <c r="B6" s="4" t="s">
        <v>10</v>
      </c>
      <c r="C6" s="4" t="s">
        <v>11</v>
      </c>
      <c r="D6" s="4">
        <v>8.5</v>
      </c>
      <c r="E6" s="4">
        <v>13.6</v>
      </c>
      <c r="F6" s="3">
        <v>13.5</v>
      </c>
      <c r="G6" s="8">
        <f t="shared" si="0"/>
        <v>13.55</v>
      </c>
      <c r="H6" s="8">
        <f t="shared" si="1"/>
        <v>10.52</v>
      </c>
      <c r="J6" s="3"/>
    </row>
    <row r="7" spans="1:10" x14ac:dyDescent="0.2">
      <c r="A7" s="3">
        <v>21030</v>
      </c>
      <c r="B7" s="4" t="s">
        <v>12</v>
      </c>
      <c r="C7" s="4" t="s">
        <v>13</v>
      </c>
      <c r="D7" s="4">
        <v>10.5</v>
      </c>
      <c r="E7" s="4">
        <v>14.4</v>
      </c>
      <c r="F7" s="3">
        <v>13.75</v>
      </c>
      <c r="G7" s="8">
        <f t="shared" si="0"/>
        <v>14.074999999999999</v>
      </c>
      <c r="H7" s="8">
        <f t="shared" si="1"/>
        <v>11.93</v>
      </c>
      <c r="J7" s="3"/>
    </row>
    <row r="8" spans="1:10" x14ac:dyDescent="0.2">
      <c r="A8" s="3">
        <v>21034</v>
      </c>
      <c r="B8" s="4" t="s">
        <v>14</v>
      </c>
      <c r="C8" s="4" t="s">
        <v>15</v>
      </c>
      <c r="D8" s="4">
        <v>10.5</v>
      </c>
      <c r="E8" s="4">
        <v>14</v>
      </c>
      <c r="F8" s="3">
        <v>13</v>
      </c>
      <c r="G8" s="8">
        <f t="shared" si="0"/>
        <v>13.5</v>
      </c>
      <c r="H8" s="8">
        <f t="shared" si="1"/>
        <v>11.7</v>
      </c>
      <c r="J8" s="3"/>
    </row>
    <row r="9" spans="1:10" x14ac:dyDescent="0.2">
      <c r="A9" s="3">
        <v>21054</v>
      </c>
      <c r="B9" s="4" t="s">
        <v>16</v>
      </c>
      <c r="C9" s="4" t="s">
        <v>17</v>
      </c>
      <c r="D9" s="4">
        <v>8.75</v>
      </c>
      <c r="E9" s="4">
        <v>12</v>
      </c>
      <c r="F9" s="3">
        <v>12</v>
      </c>
      <c r="G9" s="8">
        <f t="shared" si="0"/>
        <v>12</v>
      </c>
      <c r="H9" s="8">
        <f t="shared" si="1"/>
        <v>10.050000000000001</v>
      </c>
      <c r="J9" s="1"/>
    </row>
    <row r="10" spans="1:10" x14ac:dyDescent="0.2">
      <c r="A10" s="3">
        <v>21085</v>
      </c>
      <c r="B10" s="4" t="s">
        <v>18</v>
      </c>
      <c r="C10" s="4" t="s">
        <v>19</v>
      </c>
      <c r="D10" s="4">
        <v>9.5</v>
      </c>
      <c r="E10" s="4">
        <v>15</v>
      </c>
      <c r="F10" s="2">
        <v>16</v>
      </c>
      <c r="G10" s="8">
        <f t="shared" si="0"/>
        <v>15.5</v>
      </c>
      <c r="H10" s="8">
        <f t="shared" si="1"/>
        <v>11.9</v>
      </c>
      <c r="J10" s="3"/>
    </row>
    <row r="11" spans="1:10" x14ac:dyDescent="0.2">
      <c r="A11" s="3">
        <v>21114</v>
      </c>
      <c r="B11" s="5" t="s">
        <v>20</v>
      </c>
      <c r="C11" s="5" t="s">
        <v>21</v>
      </c>
      <c r="D11" s="4">
        <v>10.75</v>
      </c>
      <c r="E11" s="4">
        <v>10.4</v>
      </c>
      <c r="F11" s="3">
        <v>12</v>
      </c>
      <c r="G11" s="8">
        <f t="shared" si="0"/>
        <v>11.2</v>
      </c>
      <c r="H11" s="8">
        <f t="shared" si="1"/>
        <v>10.93</v>
      </c>
      <c r="J11" s="3"/>
    </row>
    <row r="12" spans="1:10" x14ac:dyDescent="0.2">
      <c r="A12" s="3">
        <v>21180</v>
      </c>
      <c r="B12" s="5" t="s">
        <v>22</v>
      </c>
      <c r="C12" s="5" t="s">
        <v>23</v>
      </c>
      <c r="D12" s="4">
        <v>10.5</v>
      </c>
      <c r="E12" s="4">
        <v>9.4</v>
      </c>
      <c r="F12" s="3">
        <v>12</v>
      </c>
      <c r="G12" s="8">
        <f t="shared" si="0"/>
        <v>10.7</v>
      </c>
      <c r="H12" s="8">
        <f t="shared" si="1"/>
        <v>10.58</v>
      </c>
      <c r="J12" s="3"/>
    </row>
    <row r="13" spans="1:10" x14ac:dyDescent="0.2">
      <c r="A13" s="3">
        <v>21196</v>
      </c>
      <c r="B13" s="5" t="s">
        <v>24</v>
      </c>
      <c r="C13" s="5" t="s">
        <v>25</v>
      </c>
      <c r="D13" s="4">
        <v>11.5</v>
      </c>
      <c r="E13" s="4">
        <v>13.2</v>
      </c>
      <c r="F13" s="3">
        <v>12</v>
      </c>
      <c r="G13" s="8">
        <f t="shared" si="0"/>
        <v>12.6</v>
      </c>
      <c r="H13" s="8">
        <f t="shared" si="1"/>
        <v>11.94</v>
      </c>
      <c r="J13" s="1"/>
    </row>
    <row r="14" spans="1:10" x14ac:dyDescent="0.2">
      <c r="A14" s="3">
        <v>21199</v>
      </c>
      <c r="B14" s="5" t="s">
        <v>26</v>
      </c>
      <c r="C14" s="5" t="s">
        <v>27</v>
      </c>
      <c r="D14" s="4">
        <v>11.75</v>
      </c>
      <c r="E14" s="4">
        <v>12.4</v>
      </c>
      <c r="F14" s="3">
        <v>13</v>
      </c>
      <c r="G14" s="8">
        <f t="shared" si="0"/>
        <v>12.7</v>
      </c>
      <c r="H14" s="8">
        <f t="shared" si="1"/>
        <v>12.129999999999999</v>
      </c>
      <c r="J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Détail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2023-01-25T13:29:18Z</dcterms:created>
  <dcterms:modified xsi:type="dcterms:W3CDTF">2023-01-29T13:53:28Z</dcterms:modified>
</cp:coreProperties>
</file>